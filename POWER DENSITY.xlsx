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ma/01-Repository/Wattio_v2/"/>
    </mc:Choice>
  </mc:AlternateContent>
  <xr:revisionPtr revIDLastSave="0" documentId="13_ncr:1_{659D8087-923C-0E43-BC75-4D4FDA68D33C}" xr6:coauthVersionLast="47" xr6:coauthVersionMax="47" xr10:uidLastSave="{00000000-0000-0000-0000-000000000000}"/>
  <bookViews>
    <workbookView xWindow="15120" yWindow="680" windowWidth="15120" windowHeight="18960" xr2:uid="{01AFDE85-E2B7-194B-8AB4-08836BCD3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  <c r="M3" i="1"/>
  <c r="G3" i="1"/>
  <c r="M2" i="1"/>
  <c r="G2" i="1"/>
</calcChain>
</file>

<file path=xl/sharedStrings.xml><?xml version="1.0" encoding="utf-8"?>
<sst xmlns="http://schemas.openxmlformats.org/spreadsheetml/2006/main" count="36" uniqueCount="34">
  <si>
    <t>MAGNETIC TYPE</t>
  </si>
  <si>
    <t>TOPOLOGY</t>
  </si>
  <si>
    <t>SW FREQUENCY</t>
  </si>
  <si>
    <t>COOLING</t>
  </si>
  <si>
    <t>RATIO</t>
  </si>
  <si>
    <t>CORE</t>
  </si>
  <si>
    <t xml:space="preserve">TECHNOLOGY </t>
  </si>
  <si>
    <t>TRANSFORMER</t>
  </si>
  <si>
    <t>PSFB</t>
  </si>
  <si>
    <t>REFERENCE</t>
  </si>
  <si>
    <t>SOURCE</t>
  </si>
  <si>
    <t>ACADEMIC</t>
  </si>
  <si>
    <t>https://www.ams-publications.ee.ethz.ch/uploads/tx_ethpublications/20100504_IPEC10_badstuebner_01.pdf</t>
  </si>
  <si>
    <t>concentric</t>
  </si>
  <si>
    <t>natural</t>
  </si>
  <si>
    <t>POWER DENSITY (kw/l)</t>
  </si>
  <si>
    <t>POWER RATIO (kw) O INDUCTANCE</t>
  </si>
  <si>
    <t xml:space="preserve">efficiency </t>
  </si>
  <si>
    <t>total magnetic losses</t>
  </si>
  <si>
    <t>winding</t>
  </si>
  <si>
    <t>core</t>
  </si>
  <si>
    <t>stacks</t>
  </si>
  <si>
    <t>E70/33/32</t>
  </si>
  <si>
    <t>simulator</t>
  </si>
  <si>
    <t>https://simulator.frenetic.ai/frenetic-online/simulations/43896#waveform</t>
  </si>
  <si>
    <t>APP NOTE</t>
  </si>
  <si>
    <t>https://www.infineon.com/assets/row/public/documents/24/42/infineon-evaluation-board-eval-3k3w-bidi-psfb-applicationnotes-en.pdf</t>
  </si>
  <si>
    <t>Forced Air</t>
  </si>
  <si>
    <t>PI35/23</t>
  </si>
  <si>
    <t>hybrid</t>
  </si>
  <si>
    <t>Volumen effective(l)</t>
  </si>
  <si>
    <t>Volumen dimmensions</t>
  </si>
  <si>
    <t>Power density</t>
  </si>
  <si>
    <t>https://simulator.frenetic.ai/frenetic-online/simulations/43913#waveform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</si>
</sst>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s-publications.ee.ethz.ch/uploads/tx_ethpublications/20100504_IPEC10_badstuebner_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2B28-FAA1-AB41-9618-D17CB98ED3F0}">
  <dimension ref="A1:T3"/>
  <sheetViews>
    <sheetView tabSelected="1" topLeftCell="C1" workbookViewId="0">
      <selection activeCell="F11" sqref="F11"/>
    </sheetView>
  </sheetViews>
  <sheetFormatPr baseColWidth="10" defaultRowHeight="16" x14ac:dyDescent="0.2"/>
  <cols>
    <col min="13" max="13" width="19.83203125" bestFit="1" customWidth="1"/>
  </cols>
  <sheetData>
    <row r="1" spans="1:20" x14ac:dyDescent="0.2">
      <c r="A1" s="1" t="s">
        <v>10</v>
      </c>
      <c r="B1" s="1" t="s">
        <v>9</v>
      </c>
      <c r="C1" s="1" t="s">
        <v>0</v>
      </c>
      <c r="D1" s="1" t="s">
        <v>1</v>
      </c>
      <c r="E1" s="1" t="s">
        <v>16</v>
      </c>
      <c r="F1" s="1" t="s">
        <v>2</v>
      </c>
      <c r="G1" s="1" t="s">
        <v>4</v>
      </c>
      <c r="H1" s="1" t="s">
        <v>3</v>
      </c>
      <c r="I1" s="1" t="s">
        <v>5</v>
      </c>
      <c r="J1" s="1" t="s">
        <v>21</v>
      </c>
      <c r="K1" s="1" t="s">
        <v>6</v>
      </c>
      <c r="L1" s="1" t="s">
        <v>30</v>
      </c>
      <c r="M1" s="1" t="s">
        <v>15</v>
      </c>
      <c r="N1" s="1" t="s">
        <v>31</v>
      </c>
      <c r="O1" s="1" t="s">
        <v>32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23</v>
      </c>
    </row>
    <row r="2" spans="1:20" x14ac:dyDescent="0.2">
      <c r="A2" t="s">
        <v>11</v>
      </c>
      <c r="B2" s="2" t="s">
        <v>12</v>
      </c>
      <c r="C2" t="s">
        <v>7</v>
      </c>
      <c r="D2" t="s">
        <v>8</v>
      </c>
      <c r="E2">
        <v>5</v>
      </c>
      <c r="F2">
        <v>25</v>
      </c>
      <c r="G2">
        <f>22/3</f>
        <v>7.333333333333333</v>
      </c>
      <c r="H2" t="s">
        <v>14</v>
      </c>
      <c r="I2" t="s">
        <v>22</v>
      </c>
      <c r="J2">
        <v>2</v>
      </c>
      <c r="K2" t="s">
        <v>13</v>
      </c>
      <c r="L2">
        <v>0.20399999999999999</v>
      </c>
      <c r="M2" s="3">
        <f>E2/L2</f>
        <v>24.509803921568629</v>
      </c>
      <c r="N2">
        <v>0.33700000000000002</v>
      </c>
      <c r="O2">
        <f>E2/N2</f>
        <v>14.836795252225519</v>
      </c>
      <c r="P2">
        <v>98</v>
      </c>
      <c r="Q2">
        <v>46.4</v>
      </c>
      <c r="R2">
        <v>42.8</v>
      </c>
      <c r="S2">
        <v>3.2</v>
      </c>
      <c r="T2" t="s">
        <v>24</v>
      </c>
    </row>
    <row r="3" spans="1:20" x14ac:dyDescent="0.2">
      <c r="A3" t="s">
        <v>25</v>
      </c>
      <c r="B3" t="s">
        <v>26</v>
      </c>
      <c r="C3" t="s">
        <v>7</v>
      </c>
      <c r="D3" t="s">
        <v>8</v>
      </c>
      <c r="E3">
        <v>3.3</v>
      </c>
      <c r="F3">
        <v>100</v>
      </c>
      <c r="G3">
        <f>21/4</f>
        <v>5.25</v>
      </c>
      <c r="H3" t="s">
        <v>27</v>
      </c>
      <c r="I3" t="s">
        <v>28</v>
      </c>
      <c r="J3">
        <v>1</v>
      </c>
      <c r="K3" t="s">
        <v>29</v>
      </c>
      <c r="L3">
        <v>8.0000000000000002E-3</v>
      </c>
      <c r="M3" s="3">
        <f>E3/L3</f>
        <v>412.49999999999994</v>
      </c>
      <c r="N3">
        <v>2.18E-2</v>
      </c>
      <c r="O3">
        <f>E3/N3</f>
        <v>151.37614678899081</v>
      </c>
      <c r="P3">
        <v>98</v>
      </c>
      <c r="Q3">
        <v>30</v>
      </c>
      <c r="R3">
        <v>27.3</v>
      </c>
      <c r="S3">
        <v>2.7</v>
      </c>
      <c r="T3" t="s">
        <v>33</v>
      </c>
    </row>
  </sheetData>
  <hyperlinks>
    <hyperlink ref="B2" r:id="rId1" xr:uid="{950A793F-450E-6247-B48C-6117E4ACB8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Molina</dc:creator>
  <cp:lastModifiedBy>Dr Molina</cp:lastModifiedBy>
  <dcterms:created xsi:type="dcterms:W3CDTF">2026-03-31T03:22:09Z</dcterms:created>
  <dcterms:modified xsi:type="dcterms:W3CDTF">2026-04-01T23:52:13Z</dcterms:modified>
</cp:coreProperties>
</file>